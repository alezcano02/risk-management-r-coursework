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eiaedu-my.sharepoint.com/personal/alejandro_lezcano_eia_edu_co/Documents/Escritorio/Risk managment/"/>
    </mc:Choice>
  </mc:AlternateContent>
  <xr:revisionPtr revIDLastSave="9" documentId="13_ncr:1_{01B51AD9-F1F5-4E38-83FA-9E5014C17F33}" xr6:coauthVersionLast="47" xr6:coauthVersionMax="47" xr10:uidLastSave="{50F2D1AB-B11B-462A-963D-1197C7D533E6}"/>
  <bookViews>
    <workbookView xWindow="-108" yWindow="-108" windowWidth="23256" windowHeight="13176" xr2:uid="{00000000-000D-0000-FFFF-FFFF00000000}"/>
  </bookViews>
  <sheets>
    <sheet name="ahp_tom_dick_harry" sheetId="2" r:id="rId1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2" l="1"/>
  <c r="L36" i="2"/>
  <c r="I11" i="2"/>
  <c r="E55" i="2"/>
  <c r="D55" i="2"/>
  <c r="E53" i="2"/>
  <c r="E49" i="2"/>
  <c r="D49" i="2"/>
  <c r="D48" i="2"/>
  <c r="F42" i="2"/>
  <c r="F41" i="2"/>
  <c r="D42" i="2"/>
  <c r="E36" i="2"/>
  <c r="E34" i="2"/>
  <c r="D36" i="2"/>
  <c r="F13" i="2"/>
  <c r="F11" i="2"/>
  <c r="E13" i="2"/>
  <c r="D13" i="2"/>
  <c r="D12" i="2"/>
  <c r="H12" i="2" s="1"/>
  <c r="D11" i="2"/>
  <c r="H11" i="2"/>
  <c r="H13" i="2"/>
  <c r="H10" i="2"/>
  <c r="G55" i="2" l="1"/>
  <c r="G54" i="2"/>
  <c r="G53" i="2"/>
  <c r="G49" i="2"/>
  <c r="G48" i="2"/>
  <c r="G47" i="2"/>
  <c r="G43" i="2"/>
  <c r="G42" i="2"/>
  <c r="G41" i="2"/>
  <c r="G35" i="2"/>
  <c r="G36" i="2"/>
  <c r="G34" i="2"/>
  <c r="L22" i="2"/>
  <c r="L21" i="2"/>
  <c r="L20" i="2"/>
  <c r="L19" i="2"/>
  <c r="H35" i="2" l="1"/>
  <c r="H49" i="2"/>
  <c r="N37" i="2" s="1"/>
  <c r="G37" i="2"/>
  <c r="H34" i="2" s="1"/>
  <c r="L35" i="2" s="1"/>
  <c r="H48" i="2"/>
  <c r="N36" i="2" s="1"/>
  <c r="H53" i="2"/>
  <c r="O35" i="2" s="1"/>
  <c r="H54" i="2"/>
  <c r="O36" i="2" s="1"/>
  <c r="H36" i="2"/>
  <c r="L37" i="2" s="1"/>
  <c r="H43" i="2"/>
  <c r="M37" i="2" s="1"/>
  <c r="H55" i="2"/>
  <c r="O37" i="2" s="1"/>
  <c r="G56" i="2"/>
  <c r="G50" i="2"/>
  <c r="H47" i="2" s="1"/>
  <c r="N35" i="2" s="1"/>
  <c r="G44" i="2"/>
  <c r="H42" i="2" s="1"/>
  <c r="M36" i="2" s="1"/>
  <c r="H14" i="2"/>
  <c r="I13" i="2" s="1"/>
  <c r="L42" i="2" l="1" a="1"/>
  <c r="H41" i="2"/>
  <c r="I10" i="2"/>
  <c r="I12" i="2"/>
  <c r="L42" i="2" l="1"/>
  <c r="L44" i="2"/>
  <c r="L43" i="2"/>
</calcChain>
</file>

<file path=xl/sharedStrings.xml><?xml version="1.0" encoding="utf-8"?>
<sst xmlns="http://schemas.openxmlformats.org/spreadsheetml/2006/main" count="101" uniqueCount="48">
  <si>
    <t>CRITERIOS PARA  SELECCIONAR  ALTERNATIVAS</t>
  </si>
  <si>
    <t>MATRIZ DE CALIFICACIÓN  DE  CRITERIOS</t>
  </si>
  <si>
    <t>usando  este  código</t>
  </si>
  <si>
    <t xml:space="preserve">es igualmente  importante </t>
  </si>
  <si>
    <t>moderadamente más importante</t>
  </si>
  <si>
    <t>claramente más importante</t>
  </si>
  <si>
    <t xml:space="preserve">fuertemente  más importnte </t>
  </si>
  <si>
    <t>definitivamente  más importante</t>
  </si>
  <si>
    <t>inverso</t>
  </si>
  <si>
    <t>igualmente importante</t>
  </si>
  <si>
    <t>moderadamente menos importante</t>
  </si>
  <si>
    <t>claramente menos importante</t>
  </si>
  <si>
    <t>definitivamente menos importante</t>
  </si>
  <si>
    <t xml:space="preserve">fuertemente  menos importante </t>
  </si>
  <si>
    <t>normalización</t>
  </si>
  <si>
    <t>r normaliz</t>
  </si>
  <si>
    <t>VECTOR  A</t>
  </si>
  <si>
    <t>CR 1</t>
  </si>
  <si>
    <t>CR 2</t>
  </si>
  <si>
    <t>CR 3</t>
  </si>
  <si>
    <t>CR 4</t>
  </si>
  <si>
    <t>CR2</t>
  </si>
  <si>
    <t>CR3</t>
  </si>
  <si>
    <t>CR4</t>
  </si>
  <si>
    <t>ALT 1:</t>
  </si>
  <si>
    <t>ALT 2:</t>
  </si>
  <si>
    <t>ALT 3:</t>
  </si>
  <si>
    <t>Sumatoria
 de Filas</t>
  </si>
  <si>
    <t>Experiencia</t>
  </si>
  <si>
    <t>Educación</t>
  </si>
  <si>
    <t>Carisma</t>
  </si>
  <si>
    <t>Edad</t>
  </si>
  <si>
    <t>Tom</t>
  </si>
  <si>
    <t>Dick</t>
  </si>
  <si>
    <t>Harry</t>
  </si>
  <si>
    <t>Suma</t>
  </si>
  <si>
    <t>´{=MMULT(L35:O37;I10:I13)}</t>
  </si>
  <si>
    <t>CRITERIOS DE SELECCIÓN (CR)</t>
  </si>
  <si>
    <t>Luego se procede a calificar  las alternativas  (ALT) por  criterios , asi:</t>
  </si>
  <si>
    <t>Al multiplicar  la matriz  B por el Vector A  se obtiene  una clasificación de las alternativas:</t>
  </si>
  <si>
    <t xml:space="preserve">Esta matriz  se  llena  por líneas (filas). </t>
  </si>
  <si>
    <r>
      <t xml:space="preserve">La pregunta  clave es:  </t>
    </r>
    <r>
      <rPr>
        <b/>
        <sz val="11"/>
        <color theme="1"/>
        <rFont val="Calibri"/>
        <family val="2"/>
        <scheme val="minor"/>
      </rPr>
      <t>¿El criterio en la fila, qué tan importante  es  en relación  con el de la columna?</t>
    </r>
  </si>
  <si>
    <t>Cada  miembro del equipo de diseño  llena  la matriz.</t>
  </si>
  <si>
    <t>Luego  se  suman  los resultados  en cada casilla</t>
  </si>
  <si>
    <t>y se normalizann los resultados  para  clasificar  los criterios por importancia.</t>
  </si>
  <si>
    <r>
      <t xml:space="preserve">Al terminar  se tiene  una </t>
    </r>
    <r>
      <rPr>
        <b/>
        <sz val="11"/>
        <color theme="1"/>
        <rFont val="Calibri"/>
        <family val="2"/>
        <scheme val="minor"/>
      </rPr>
      <t>MATRIZ  B</t>
    </r>
    <r>
      <rPr>
        <sz val="11"/>
        <color theme="1"/>
        <rFont val="Calibri"/>
        <family val="2"/>
        <scheme val="minor"/>
      </rPr>
      <t>:</t>
    </r>
  </si>
  <si>
    <t>Conslución: Se debe seleccionar Dick, ya que él tiene el mayor valor.</t>
  </si>
  <si>
    <t>r normaliz.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</si>
</sst>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justify" vertical="top" wrapText="1"/>
    </xf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1" fillId="0" borderId="0" xfId="0" applyFont="1" applyAlignment="1">
      <alignment horizontal="center"/>
    </xf>
    <xf numFmtId="1" fontId="0" fillId="0" borderId="0" xfId="0" applyNumberFormat="1"/>
    <xf numFmtId="2" fontId="0" fillId="0" borderId="0" xfId="0" applyNumberFormat="1"/>
    <xf numFmtId="0" fontId="1" fillId="5" borderId="0" xfId="0" applyFont="1" applyFill="1"/>
    <xf numFmtId="0" fontId="0" fillId="5" borderId="0" xfId="0" applyFill="1"/>
    <xf numFmtId="0" fontId="0" fillId="0" borderId="0" xfId="0" quotePrefix="1"/>
    <xf numFmtId="0" fontId="0" fillId="6" borderId="1" xfId="0" applyFill="1" applyBorder="1"/>
    <xf numFmtId="0" fontId="1" fillId="6" borderId="0" xfId="0" applyFont="1" applyFill="1"/>
    <xf numFmtId="0" fontId="0" fillId="6" borderId="0" xfId="0" applyFill="1"/>
    <xf numFmtId="2" fontId="0" fillId="6" borderId="0" xfId="0" applyNumberFormat="1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164" fontId="0" fillId="7" borderId="1" xfId="0" applyNumberFormat="1" applyFill="1" applyBorder="1"/>
    <xf numFmtId="10" fontId="0" fillId="7" borderId="1" xfId="1" applyNumberFormat="1" applyFont="1" applyFill="1" applyBorder="1"/>
    <xf numFmtId="0" fontId="0" fillId="8" borderId="0" xfId="0" applyFill="1"/>
    <xf numFmtId="2" fontId="0" fillId="8" borderId="0" xfId="0" applyNumberFormat="1" applyFill="1"/>
    <xf numFmtId="0" fontId="1" fillId="0" borderId="0" xfId="0" applyFont="1" applyAlignment="1">
      <alignment horizontal="center"/>
    </xf>
    <xf numFmtId="0" fontId="0" fillId="7" borderId="0" xfId="0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44450</xdr:colOff>
      <xdr:row>42</xdr:row>
      <xdr:rowOff>34925</xdr:rowOff>
    </xdr:from>
    <xdr:to>
      <xdr:col>13</xdr:col>
      <xdr:colOff>342900</xdr:colOff>
      <xdr:row>43</xdr:row>
      <xdr:rowOff>15875</xdr:rowOff>
    </xdr:to>
    <xdr:sp macro="" textlink="">
      <xdr:nvSpPr>
        <xdr:cNvPr id="2" name="Flecha: hacia la izquierda 1">
          <a:extLst>
            <a:ext uri="{FF2B5EF4-FFF2-40B4-BE49-F238E27FC236}">
              <a16:creationId xmlns:a16="http://schemas.microsoft.com/office/drawing/2014/main" id="{2A26000E-7AE9-455A-80E7-BC9FDBEAFFDD}"/>
            </a:ext>
          </a:extLst>
        </xdr:cNvPr>
        <xdr:cNvSpPr/>
      </xdr:nvSpPr>
      <xdr:spPr>
        <a:xfrm>
          <a:off x="9255125" y="9398000"/>
          <a:ext cx="298450" cy="1714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56"/>
  <sheetViews>
    <sheetView tabSelected="1" topLeftCell="B40" zoomScale="103" workbookViewId="0">
      <selection activeCell="J46" sqref="J46:M52"/>
    </sheetView>
  </sheetViews>
  <sheetFormatPr baseColWidth="10" defaultRowHeight="14.4" x14ac:dyDescent="0.3"/>
  <cols>
    <col min="2" max="2" width="45.109375" customWidth="1"/>
    <col min="3" max="3" width="12.44140625" customWidth="1"/>
    <col min="4" max="6" width="5.33203125" customWidth="1"/>
    <col min="7" max="7" width="7.44140625" customWidth="1"/>
    <col min="8" max="8" width="13.44140625" customWidth="1"/>
    <col min="9" max="9" width="9.5546875" customWidth="1"/>
    <col min="10" max="10" width="5.33203125" customWidth="1"/>
    <col min="11" max="11" width="6.88671875" customWidth="1"/>
    <col min="12" max="12" width="12.88671875" bestFit="1" customWidth="1"/>
    <col min="13" max="13" width="7.88671875" customWidth="1"/>
    <col min="14" max="14" width="7.6640625" customWidth="1"/>
    <col min="15" max="15" width="17.88671875" customWidth="1"/>
    <col min="16" max="16" width="12.33203125" customWidth="1"/>
  </cols>
  <sheetData>
    <row r="2" spans="2:9" x14ac:dyDescent="0.3">
      <c r="B2" s="3" t="s">
        <v>0</v>
      </c>
      <c r="C2" t="s">
        <v>37</v>
      </c>
    </row>
    <row r="3" spans="2:9" x14ac:dyDescent="0.3">
      <c r="C3" t="s">
        <v>17</v>
      </c>
      <c r="D3" s="11" t="s">
        <v>28</v>
      </c>
      <c r="E3" s="12"/>
    </row>
    <row r="4" spans="2:9" x14ac:dyDescent="0.3">
      <c r="C4" t="s">
        <v>18</v>
      </c>
      <c r="D4" s="11" t="s">
        <v>29</v>
      </c>
      <c r="E4" s="12"/>
    </row>
    <row r="5" spans="2:9" x14ac:dyDescent="0.3">
      <c r="C5" t="s">
        <v>19</v>
      </c>
      <c r="D5" s="11" t="s">
        <v>30</v>
      </c>
      <c r="E5" s="12"/>
    </row>
    <row r="6" spans="2:9" x14ac:dyDescent="0.3">
      <c r="C6" t="s">
        <v>20</v>
      </c>
      <c r="D6" s="11" t="s">
        <v>31</v>
      </c>
      <c r="E6" s="12"/>
    </row>
    <row r="7" spans="2:9" x14ac:dyDescent="0.3">
      <c r="B7" s="3"/>
    </row>
    <row r="8" spans="2:9" ht="18" customHeight="1" x14ac:dyDescent="0.3">
      <c r="B8" s="1"/>
      <c r="C8" s="24" t="s">
        <v>1</v>
      </c>
      <c r="D8" s="24"/>
      <c r="E8" s="24"/>
      <c r="F8" s="24"/>
      <c r="G8" s="24"/>
      <c r="I8" s="15" t="s">
        <v>16</v>
      </c>
    </row>
    <row r="9" spans="2:9" ht="29.25" customHeight="1" x14ac:dyDescent="0.3">
      <c r="B9" s="1"/>
      <c r="D9" t="s">
        <v>17</v>
      </c>
      <c r="E9" t="s">
        <v>18</v>
      </c>
      <c r="F9" t="s">
        <v>19</v>
      </c>
      <c r="G9" t="s">
        <v>20</v>
      </c>
      <c r="H9" s="6" t="s">
        <v>27</v>
      </c>
      <c r="I9" s="16" t="s">
        <v>14</v>
      </c>
    </row>
    <row r="10" spans="2:9" x14ac:dyDescent="0.3">
      <c r="B10" s="1"/>
      <c r="C10" t="s">
        <v>17</v>
      </c>
      <c r="D10" s="5"/>
      <c r="E10">
        <v>4</v>
      </c>
      <c r="F10">
        <v>3</v>
      </c>
      <c r="G10">
        <v>7</v>
      </c>
      <c r="H10">
        <f>SUM(D10:G10)</f>
        <v>14</v>
      </c>
      <c r="I10" s="17">
        <f>H10/$H$14</f>
        <v>0.52645715820574812</v>
      </c>
    </row>
    <row r="11" spans="2:9" x14ac:dyDescent="0.3">
      <c r="B11" s="1"/>
      <c r="C11" t="s">
        <v>18</v>
      </c>
      <c r="D11" s="10">
        <f>1/4</f>
        <v>0.25</v>
      </c>
      <c r="E11" s="5"/>
      <c r="F11">
        <f>1/3</f>
        <v>0.33333333333333331</v>
      </c>
      <c r="G11">
        <v>3</v>
      </c>
      <c r="H11">
        <f t="shared" ref="H11:H13" si="0">SUM(D11:G11)</f>
        <v>3.583333333333333</v>
      </c>
      <c r="I11" s="17">
        <f>H11/$H$14</f>
        <v>0.13474796311218551</v>
      </c>
    </row>
    <row r="12" spans="2:9" x14ac:dyDescent="0.3">
      <c r="B12" s="1"/>
      <c r="C12" t="s">
        <v>19</v>
      </c>
      <c r="D12">
        <f>1/3</f>
        <v>0.33333333333333331</v>
      </c>
      <c r="E12">
        <v>3</v>
      </c>
      <c r="F12" s="5"/>
      <c r="G12">
        <v>5</v>
      </c>
      <c r="H12">
        <f t="shared" si="0"/>
        <v>8.3333333333333339</v>
      </c>
      <c r="I12" s="17">
        <f>H12/$H$14</f>
        <v>0.31336735607485006</v>
      </c>
    </row>
    <row r="13" spans="2:9" x14ac:dyDescent="0.3">
      <c r="B13" s="1"/>
      <c r="C13" t="s">
        <v>20</v>
      </c>
      <c r="D13" s="9">
        <f>1/7</f>
        <v>0.14285714285714285</v>
      </c>
      <c r="E13">
        <f>1/3</f>
        <v>0.33333333333333331</v>
      </c>
      <c r="F13">
        <f>1/5</f>
        <v>0.2</v>
      </c>
      <c r="G13" s="5"/>
      <c r="H13">
        <f t="shared" si="0"/>
        <v>0.67619047619047623</v>
      </c>
      <c r="I13" s="17">
        <f>H13/$H$14</f>
        <v>2.5427522607216407E-2</v>
      </c>
    </row>
    <row r="14" spans="2:9" x14ac:dyDescent="0.3">
      <c r="G14" t="s">
        <v>35</v>
      </c>
      <c r="H14">
        <f>SUM(H10:H13)</f>
        <v>26.592857142857142</v>
      </c>
    </row>
    <row r="15" spans="2:9" x14ac:dyDescent="0.3">
      <c r="C15" t="s">
        <v>40</v>
      </c>
    </row>
    <row r="16" spans="2:9" x14ac:dyDescent="0.3">
      <c r="C16" t="s">
        <v>41</v>
      </c>
    </row>
    <row r="17" spans="3:15" x14ac:dyDescent="0.3">
      <c r="C17" t="s">
        <v>2</v>
      </c>
      <c r="G17" s="8"/>
      <c r="L17" s="2" t="s">
        <v>8</v>
      </c>
    </row>
    <row r="18" spans="3:15" x14ac:dyDescent="0.3">
      <c r="C18" s="4">
        <v>1</v>
      </c>
      <c r="D18" s="4" t="s">
        <v>3</v>
      </c>
      <c r="E18" s="4"/>
      <c r="F18" s="4"/>
      <c r="G18" s="4"/>
      <c r="H18" s="4"/>
      <c r="L18" s="22">
        <v>1</v>
      </c>
      <c r="M18" s="22" t="s">
        <v>9</v>
      </c>
      <c r="N18" s="22"/>
      <c r="O18" s="22"/>
    </row>
    <row r="19" spans="3:15" x14ac:dyDescent="0.3">
      <c r="C19" s="4">
        <v>3</v>
      </c>
      <c r="D19" s="4" t="s">
        <v>4</v>
      </c>
      <c r="E19" s="4"/>
      <c r="F19" s="4"/>
      <c r="G19" s="4"/>
      <c r="H19" s="4"/>
      <c r="L19" s="23">
        <f>1/C19</f>
        <v>0.33333333333333331</v>
      </c>
      <c r="M19" s="22" t="s">
        <v>10</v>
      </c>
      <c r="N19" s="22"/>
      <c r="O19" s="22"/>
    </row>
    <row r="20" spans="3:15" x14ac:dyDescent="0.3">
      <c r="C20" s="4">
        <v>5</v>
      </c>
      <c r="D20" s="4" t="s">
        <v>5</v>
      </c>
      <c r="E20" s="4"/>
      <c r="F20" s="4"/>
      <c r="G20" s="4"/>
      <c r="H20" s="4"/>
      <c r="L20" s="23">
        <f>1/C20</f>
        <v>0.2</v>
      </c>
      <c r="M20" s="22" t="s">
        <v>11</v>
      </c>
      <c r="N20" s="22"/>
      <c r="O20" s="22"/>
    </row>
    <row r="21" spans="3:15" x14ac:dyDescent="0.3">
      <c r="C21" s="4">
        <v>7</v>
      </c>
      <c r="D21" s="4" t="s">
        <v>6</v>
      </c>
      <c r="E21" s="4"/>
      <c r="F21" s="4"/>
      <c r="G21" s="4"/>
      <c r="H21" s="4"/>
      <c r="L21" s="23">
        <f>1/C21</f>
        <v>0.14285714285714285</v>
      </c>
      <c r="M21" s="22" t="s">
        <v>13</v>
      </c>
      <c r="N21" s="22"/>
      <c r="O21" s="22"/>
    </row>
    <row r="22" spans="3:15" x14ac:dyDescent="0.3">
      <c r="C22" s="4">
        <v>9</v>
      </c>
      <c r="D22" s="4" t="s">
        <v>7</v>
      </c>
      <c r="E22" s="4"/>
      <c r="F22" s="4"/>
      <c r="G22" s="4"/>
      <c r="H22" s="4"/>
      <c r="L22" s="23">
        <f>1/C22</f>
        <v>0.1111111111111111</v>
      </c>
      <c r="M22" s="22" t="s">
        <v>12</v>
      </c>
      <c r="N22" s="22"/>
      <c r="O22" s="22"/>
    </row>
    <row r="23" spans="3:15" x14ac:dyDescent="0.3">
      <c r="C23" t="s">
        <v>42</v>
      </c>
    </row>
    <row r="24" spans="3:15" x14ac:dyDescent="0.3">
      <c r="C24" t="s">
        <v>43</v>
      </c>
    </row>
    <row r="25" spans="3:15" x14ac:dyDescent="0.3">
      <c r="C25" t="s">
        <v>44</v>
      </c>
    </row>
    <row r="27" spans="3:15" x14ac:dyDescent="0.3">
      <c r="C27" t="s">
        <v>38</v>
      </c>
    </row>
    <row r="29" spans="3:15" x14ac:dyDescent="0.3">
      <c r="C29" t="s">
        <v>24</v>
      </c>
      <c r="D29" s="11" t="s">
        <v>32</v>
      </c>
    </row>
    <row r="30" spans="3:15" x14ac:dyDescent="0.3">
      <c r="C30" t="s">
        <v>25</v>
      </c>
      <c r="D30" s="11" t="s">
        <v>33</v>
      </c>
    </row>
    <row r="31" spans="3:15" x14ac:dyDescent="0.3">
      <c r="C31" t="s">
        <v>26</v>
      </c>
      <c r="D31" s="11" t="s">
        <v>34</v>
      </c>
    </row>
    <row r="33" spans="3:19" ht="43.2" x14ac:dyDescent="0.3">
      <c r="C33" s="2" t="s">
        <v>17</v>
      </c>
      <c r="D33" t="s">
        <v>24</v>
      </c>
      <c r="E33" t="s">
        <v>25</v>
      </c>
      <c r="F33" t="s">
        <v>26</v>
      </c>
      <c r="G33" s="6" t="s">
        <v>27</v>
      </c>
      <c r="H33" t="s">
        <v>15</v>
      </c>
      <c r="J33" t="s">
        <v>45</v>
      </c>
    </row>
    <row r="34" spans="3:19" x14ac:dyDescent="0.3">
      <c r="C34" t="s">
        <v>24</v>
      </c>
      <c r="D34" s="7"/>
      <c r="E34">
        <f>1/4</f>
        <v>0.25</v>
      </c>
      <c r="F34">
        <v>4</v>
      </c>
      <c r="G34">
        <f>SUM(D34:F34)</f>
        <v>4.25</v>
      </c>
      <c r="H34">
        <f>G34/$G$37</f>
        <v>0.24132492113564669</v>
      </c>
      <c r="K34" s="14"/>
      <c r="L34" s="18" t="s">
        <v>17</v>
      </c>
      <c r="M34" s="18" t="s">
        <v>21</v>
      </c>
      <c r="N34" s="18" t="s">
        <v>22</v>
      </c>
      <c r="O34" s="18" t="s">
        <v>23</v>
      </c>
    </row>
    <row r="35" spans="3:19" x14ac:dyDescent="0.3">
      <c r="C35" t="s">
        <v>25</v>
      </c>
      <c r="D35">
        <v>4</v>
      </c>
      <c r="E35" s="7"/>
      <c r="F35">
        <v>9</v>
      </c>
      <c r="G35">
        <f>SUM(D35:F35)</f>
        <v>13</v>
      </c>
      <c r="H35">
        <f t="shared" ref="H35:H36" si="1">G35/$G$37</f>
        <v>0.73817034700315454</v>
      </c>
      <c r="K35" s="14" t="s">
        <v>24</v>
      </c>
      <c r="L35" s="14">
        <f>H34</f>
        <v>0.24132492113564669</v>
      </c>
      <c r="M35" s="14">
        <f>H41</f>
        <v>0.20413122721749696</v>
      </c>
      <c r="N35" s="14">
        <f>H47</f>
        <v>0.75426519006285553</v>
      </c>
      <c r="O35" s="14">
        <f>H53</f>
        <v>0.30226700251889171</v>
      </c>
    </row>
    <row r="36" spans="3:19" x14ac:dyDescent="0.3">
      <c r="C36" t="s">
        <v>26</v>
      </c>
      <c r="D36">
        <f>1/4</f>
        <v>0.25</v>
      </c>
      <c r="E36">
        <f>1/9</f>
        <v>0.1111111111111111</v>
      </c>
      <c r="F36" s="7"/>
      <c r="G36">
        <f>SUM(D36:F36)</f>
        <v>0.3611111111111111</v>
      </c>
      <c r="H36">
        <f t="shared" si="1"/>
        <v>2.0504731861198739E-2</v>
      </c>
      <c r="K36" s="14" t="s">
        <v>25</v>
      </c>
      <c r="L36" s="14">
        <f>H35</f>
        <v>0.73817034700315454</v>
      </c>
      <c r="M36" s="14">
        <f t="shared" ref="M36:M37" si="2">H42</f>
        <v>3.0376670716889424E-2</v>
      </c>
      <c r="N36" s="14">
        <f t="shared" ref="N36:N37" si="3">H48</f>
        <v>0.22627955701885666</v>
      </c>
      <c r="O36" s="14">
        <f t="shared" ref="O36:O37" si="4">H54</f>
        <v>0.68010075566750638</v>
      </c>
    </row>
    <row r="37" spans="3:19" x14ac:dyDescent="0.3">
      <c r="F37" t="s">
        <v>35</v>
      </c>
      <c r="G37">
        <f>SUM(G34:G36)</f>
        <v>17.611111111111111</v>
      </c>
      <c r="K37" s="14" t="s">
        <v>26</v>
      </c>
      <c r="L37" s="14">
        <f t="shared" ref="L36:L37" si="5">H36</f>
        <v>2.0504731861198739E-2</v>
      </c>
      <c r="M37" s="14">
        <f t="shared" si="2"/>
        <v>0.76549210206561358</v>
      </c>
      <c r="N37" s="14">
        <f t="shared" si="3"/>
        <v>1.9455252918287938E-2</v>
      </c>
      <c r="O37" s="14">
        <f t="shared" si="4"/>
        <v>1.7632241813602019E-2</v>
      </c>
    </row>
    <row r="40" spans="3:19" ht="43.2" x14ac:dyDescent="0.3">
      <c r="C40" s="2" t="s">
        <v>21</v>
      </c>
      <c r="D40" t="s">
        <v>24</v>
      </c>
      <c r="E40" t="s">
        <v>25</v>
      </c>
      <c r="F40" t="s">
        <v>26</v>
      </c>
      <c r="G40" s="6" t="s">
        <v>27</v>
      </c>
      <c r="H40" t="s">
        <v>47</v>
      </c>
      <c r="J40" s="3" t="s">
        <v>39</v>
      </c>
    </row>
    <row r="41" spans="3:19" x14ac:dyDescent="0.3">
      <c r="C41" t="s">
        <v>24</v>
      </c>
      <c r="D41" s="7"/>
      <c r="E41">
        <v>3</v>
      </c>
      <c r="F41">
        <f>1/5</f>
        <v>0.2</v>
      </c>
      <c r="G41">
        <f>SUM(D41:F41)</f>
        <v>3.2</v>
      </c>
      <c r="H41">
        <f>G41/$G$44</f>
        <v>0.20413122721749696</v>
      </c>
      <c r="K41" s="13" t="s">
        <v>36</v>
      </c>
    </row>
    <row r="42" spans="3:19" x14ac:dyDescent="0.3">
      <c r="C42" t="s">
        <v>25</v>
      </c>
      <c r="D42">
        <f>1/3</f>
        <v>0.33333333333333331</v>
      </c>
      <c r="E42" s="7"/>
      <c r="F42">
        <f>1/7</f>
        <v>0.14285714285714285</v>
      </c>
      <c r="G42">
        <f>SUM(D42:F42)</f>
        <v>0.47619047619047616</v>
      </c>
      <c r="H42">
        <f t="shared" ref="H42:H43" si="6">G42/$G$44</f>
        <v>3.0376670716889424E-2</v>
      </c>
      <c r="K42" s="19" t="s">
        <v>24</v>
      </c>
      <c r="L42" s="20">
        <f t="array" ref="L42:L44">MMULT(L35:O37,I10:I13)</f>
        <v>0.39860148868970319</v>
      </c>
      <c r="M42" s="21">
        <v>0.39860148868970319</v>
      </c>
    </row>
    <row r="43" spans="3:19" x14ac:dyDescent="0.3">
      <c r="C43" t="s">
        <v>26</v>
      </c>
      <c r="D43">
        <v>5</v>
      </c>
      <c r="E43">
        <v>7</v>
      </c>
      <c r="F43" s="7"/>
      <c r="G43">
        <f>SUM(D43:F43)</f>
        <v>12</v>
      </c>
      <c r="H43">
        <f t="shared" si="6"/>
        <v>0.76549210206561358</v>
      </c>
      <c r="K43" s="19" t="s">
        <v>25</v>
      </c>
      <c r="L43" s="19">
        <v>0.48091016151696997</v>
      </c>
      <c r="M43" s="21">
        <v>0.48091016151696997</v>
      </c>
      <c r="O43" s="12" t="s">
        <v>46</v>
      </c>
      <c r="P43" s="12"/>
      <c r="Q43" s="12"/>
      <c r="R43" s="12"/>
      <c r="S43" s="12"/>
    </row>
    <row r="44" spans="3:19" x14ac:dyDescent="0.3">
      <c r="F44" t="s">
        <v>35</v>
      </c>
      <c r="G44">
        <f>SUM(G41:G43)</f>
        <v>15.676190476190477</v>
      </c>
      <c r="K44" s="19" t="s">
        <v>26</v>
      </c>
      <c r="L44" s="19">
        <v>0.12048834979332686</v>
      </c>
      <c r="M44" s="21">
        <v>0.12048834979332686</v>
      </c>
    </row>
    <row r="46" spans="3:19" ht="43.2" x14ac:dyDescent="0.3">
      <c r="C46" s="2" t="s">
        <v>22</v>
      </c>
      <c r="D46" t="s">
        <v>24</v>
      </c>
      <c r="E46" t="s">
        <v>25</v>
      </c>
      <c r="F46" t="s">
        <v>26</v>
      </c>
      <c r="G46" s="6" t="s">
        <v>27</v>
      </c>
      <c r="H46" t="s">
        <v>47</v>
      </c>
    </row>
    <row r="47" spans="3:19" x14ac:dyDescent="0.3">
      <c r="C47" t="s">
        <v>24</v>
      </c>
      <c r="D47" s="7"/>
      <c r="E47">
        <v>5</v>
      </c>
      <c r="F47">
        <v>9</v>
      </c>
      <c r="G47">
        <f>SUM(D47:F47)</f>
        <v>14</v>
      </c>
      <c r="H47">
        <f>G47/$G$50</f>
        <v>0.75426519006285553</v>
      </c>
      <c r="K47" s="25"/>
    </row>
    <row r="48" spans="3:19" x14ac:dyDescent="0.3">
      <c r="C48" t="s">
        <v>25</v>
      </c>
      <c r="D48">
        <f>1/5</f>
        <v>0.2</v>
      </c>
      <c r="E48" s="7"/>
      <c r="F48">
        <v>4</v>
      </c>
      <c r="G48">
        <f>SUM(D48:F48)</f>
        <v>4.2</v>
      </c>
      <c r="H48">
        <f t="shared" ref="H48:H49" si="7">G48/$G$50</f>
        <v>0.22627955701885666</v>
      </c>
    </row>
    <row r="49" spans="3:8" x14ac:dyDescent="0.3">
      <c r="C49" t="s">
        <v>26</v>
      </c>
      <c r="D49">
        <f>1/9</f>
        <v>0.1111111111111111</v>
      </c>
      <c r="E49">
        <f>1/4</f>
        <v>0.25</v>
      </c>
      <c r="F49" s="7"/>
      <c r="G49">
        <f>SUM(D49:F49)</f>
        <v>0.3611111111111111</v>
      </c>
      <c r="H49">
        <f t="shared" si="7"/>
        <v>1.9455252918287938E-2</v>
      </c>
    </row>
    <row r="50" spans="3:8" x14ac:dyDescent="0.3">
      <c r="F50" t="s">
        <v>35</v>
      </c>
      <c r="G50">
        <f>SUM(G47:G49)</f>
        <v>18.56111111111111</v>
      </c>
    </row>
    <row r="52" spans="3:8" ht="43.2" x14ac:dyDescent="0.3">
      <c r="C52" s="2" t="s">
        <v>23</v>
      </c>
      <c r="D52" t="s">
        <v>24</v>
      </c>
      <c r="E52" t="s">
        <v>25</v>
      </c>
      <c r="F52" t="s">
        <v>26</v>
      </c>
      <c r="G52" s="6" t="s">
        <v>27</v>
      </c>
      <c r="H52" t="s">
        <v>47</v>
      </c>
    </row>
    <row r="53" spans="3:8" x14ac:dyDescent="0.3">
      <c r="C53" t="s">
        <v>24</v>
      </c>
      <c r="D53" s="7"/>
      <c r="E53">
        <f>1/3</f>
        <v>0.33333333333333331</v>
      </c>
      <c r="F53">
        <v>5</v>
      </c>
      <c r="G53">
        <f>SUM(D53:F53)</f>
        <v>5.333333333333333</v>
      </c>
      <c r="H53">
        <f>G53/$G$56</f>
        <v>0.30226700251889171</v>
      </c>
    </row>
    <row r="54" spans="3:8" x14ac:dyDescent="0.3">
      <c r="C54" t="s">
        <v>25</v>
      </c>
      <c r="D54">
        <v>3</v>
      </c>
      <c r="E54" s="7"/>
      <c r="F54">
        <v>9</v>
      </c>
      <c r="G54">
        <f>SUM(D54:F54)</f>
        <v>12</v>
      </c>
      <c r="H54">
        <f t="shared" ref="H54:H55" si="8">G54/$G$56</f>
        <v>0.68010075566750638</v>
      </c>
    </row>
    <row r="55" spans="3:8" x14ac:dyDescent="0.3">
      <c r="C55" t="s">
        <v>26</v>
      </c>
      <c r="D55">
        <f>1/5</f>
        <v>0.2</v>
      </c>
      <c r="E55">
        <f>1/9</f>
        <v>0.1111111111111111</v>
      </c>
      <c r="F55" s="7"/>
      <c r="G55">
        <f>SUM(D55:F55)</f>
        <v>0.31111111111111112</v>
      </c>
      <c r="H55">
        <f t="shared" si="8"/>
        <v>1.7632241813602019E-2</v>
      </c>
    </row>
    <row r="56" spans="3:8" x14ac:dyDescent="0.3">
      <c r="F56" t="s">
        <v>35</v>
      </c>
      <c r="G56">
        <f>SUM(G53:G55)</f>
        <v>17.644444444444442</v>
      </c>
    </row>
  </sheetData>
  <mergeCells count="1">
    <mergeCell ref="C8:G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DD2E3FD4C06647B0EFA04999A069F5" ma:contentTypeVersion="6" ma:contentTypeDescription="Crear nuevo documento." ma:contentTypeScope="" ma:versionID="b6a727f828d4fe62ddf1151d23e9cd46">
  <xsd:schema xmlns:xsd="http://www.w3.org/2001/XMLSchema" xmlns:xs="http://www.w3.org/2001/XMLSchema" xmlns:p="http://schemas.microsoft.com/office/2006/metadata/properties" xmlns:ns2="a1197f5c-c46c-4e86-81b8-1e973b7185aa" targetNamespace="http://schemas.microsoft.com/office/2006/metadata/properties" ma:root="true" ma:fieldsID="cb3f8c484e2e9946f699b5d2e7b2754f" ns2:_="">
    <xsd:import namespace="a1197f5c-c46c-4e86-81b8-1e973b7185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97f5c-c46c-4e86-81b8-1e973b7185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609F76-C6E7-41F7-9445-DEF9B2EA53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197f5c-c46c-4e86-81b8-1e973b7185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1714C0-1D66-479D-838B-7044360CCC2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227C4-A308-4AB1-A92F-78CDFAD469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ahp_tom_dick_harry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Alberto Gómez Lizarazo</dc:creator>
  <cp:lastModifiedBy>Alejandro Lezcano Osorio</cp:lastModifiedBy>
  <dcterms:created xsi:type="dcterms:W3CDTF">2017-11-02T01:05:22Z</dcterms:created>
  <dcterms:modified xsi:type="dcterms:W3CDTF">2024-09-24T13:22:03Z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0x01010003DD2E3FD4C06647B0EFA04999A069F5</vt:lpwstr>
  </property>
</Properties>
</file>